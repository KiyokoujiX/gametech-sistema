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BB2A66AF-1D7C-4178-920F-2C4C701963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D8" i="1"/>
  <c r="C8" i="1"/>
  <c r="B8" i="1"/>
  <c r="E4" i="1"/>
  <c r="E5" i="1"/>
  <c r="E6" i="1"/>
  <c r="E8" i="1"/>
</calcChain>
</file>

<file path=xl/sharedStrings.xml><?xml version="1.0" encoding="utf-8"?>
<sst xmlns="http://schemas.openxmlformats.org/spreadsheetml/2006/main" count="67" uniqueCount="63">
  <si>
    <t>RR.HH. (ROLES)</t>
  </si>
  <si>
    <t>Cantidad</t>
  </si>
  <si>
    <t>Horas / Mes</t>
  </si>
  <si>
    <t>Costo Mes (US$)</t>
  </si>
  <si>
    <t>Costo Total 4 Meses (US$)</t>
  </si>
  <si>
    <t>Concepto</t>
  </si>
  <si>
    <t>Cálculo</t>
  </si>
  <si>
    <t>Valor</t>
  </si>
  <si>
    <t>SCRUM MASTER</t>
  </si>
  <si>
    <t>COSTO DE RRHH</t>
  </si>
  <si>
    <t>$9,200 × 4.00 (T.C.)</t>
  </si>
  <si>
    <t>Costo de Oportunidad mensual del Capital (COK)</t>
  </si>
  <si>
    <t>ANA-PROG 1</t>
  </si>
  <si>
    <t>INFRAESTRUCTURA</t>
  </si>
  <si>
    <t>(Suma de Desarrollo + Despliegue)</t>
  </si>
  <si>
    <t>#Mes</t>
  </si>
  <si>
    <t>ANA-PROG 2</t>
  </si>
  <si>
    <t>COSTO TOTAL PROYECTO</t>
  </si>
  <si>
    <t>(RRHH + Infra)</t>
  </si>
  <si>
    <t>MES</t>
  </si>
  <si>
    <t>INGRESOS (A)</t>
  </si>
  <si>
    <t>EGRESOS (B)</t>
  </si>
  <si>
    <t>FLUJO DE CAJA C=(A-B)</t>
  </si>
  <si>
    <t>VALOR ACTUAL E=C/(1+D)^#MES</t>
  </si>
  <si>
    <t>Analista de Calidad (QA Tester)</t>
  </si>
  <si>
    <t>MARGEN (20%)</t>
  </si>
  <si>
    <t>20% del Costo Total</t>
  </si>
  <si>
    <t>ENE</t>
  </si>
  <si>
    <t>–57,471</t>
  </si>
  <si>
    <t>Diseñador UX (Experiencia de Usuario)</t>
  </si>
  <si>
    <t>COSTO DE VENTA</t>
  </si>
  <si>
    <t>(Costo Total + Margen)</t>
  </si>
  <si>
    <t>11,138.61</t>
  </si>
  <si>
    <t>Horas de Despliegue</t>
  </si>
  <si>
    <t>-</t>
  </si>
  <si>
    <t>IGV (18%)</t>
  </si>
  <si>
    <t>18% del Costo de Venta</t>
  </si>
  <si>
    <t>FEB</t>
  </si>
  <si>
    <t>12,245.74</t>
  </si>
  <si>
    <t>TOTAL (US$)</t>
  </si>
  <si>
    <t>PRECIO VENTA FINAL</t>
  </si>
  <si>
    <t>Costo de Venta + IGV</t>
  </si>
  <si>
    <t>MAR</t>
  </si>
  <si>
    <t>13,345.61</t>
  </si>
  <si>
    <t>ABR</t>
  </si>
  <si>
    <t>15,461.32</t>
  </si>
  <si>
    <t>MAY</t>
  </si>
  <si>
    <t>16,485.79</t>
  </si>
  <si>
    <t>JUN</t>
  </si>
  <si>
    <t>17,488.46</t>
  </si>
  <si>
    <t>JUL</t>
  </si>
  <si>
    <t>18,469.66</t>
  </si>
  <si>
    <t>AGO</t>
  </si>
  <si>
    <t>18,285.80</t>
  </si>
  <si>
    <t>SET</t>
  </si>
  <si>
    <t>18,105.74</t>
  </si>
  <si>
    <t>OCT</t>
  </si>
  <si>
    <t>17,926.47</t>
  </si>
  <si>
    <t>NOV</t>
  </si>
  <si>
    <t>17,748.98</t>
  </si>
  <si>
    <t>DIC</t>
  </si>
  <si>
    <t>17,573.24</t>
  </si>
  <si>
    <t>VALOR ACTUAL NETO (VAN): S/ 138,388.88 
TASA INTERNA DE RETORNO (TIR): 24,7%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</si>
</sst>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73" formatCode="_-[$$-409]* #,##0.00_ ;_-[$$-409]* \-#,##0.00\ ;_-[$$-409]* &quot;-&quot;??_ ;_-@_ "/>
    <numFmt numFmtId="176" formatCode="_-[$$-409]* #,##0.000_ ;_-[$$-409]* \-#,##0.000\ ;_-[$$-409]* &quot;-&quot;???_ ;_-@_ "/>
    <numFmt numFmtId="179" formatCode="0.000"/>
  </numFmts>
  <fonts count="5">
    <font>
      <sz val="11"/>
      <color theme="1"/>
      <name val="Aptos Narrow"/>
      <family val="2"/>
      <scheme val="minor"/>
    </font>
    <font>
      <sz val="11"/>
      <color theme="1"/>
      <name val="Times New Roman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1" fillId="0" borderId="1" xfId="0" applyFont="1" applyBorder="1"/>
    <xf numFmtId="173" fontId="1" fillId="0" borderId="1" xfId="0" applyNumberFormat="1" applyFont="1" applyBorder="1" applyAlignment="1">
      <alignment horizontal="left" vertical="top"/>
    </xf>
    <xf numFmtId="173" fontId="1" fillId="0" borderId="1" xfId="0" applyNumberFormat="1" applyFont="1" applyBorder="1" applyAlignment="1">
      <alignment horizontal="right"/>
    </xf>
    <xf numFmtId="173" fontId="1" fillId="0" borderId="1" xfId="0" applyNumberFormat="1" applyFont="1" applyBorder="1" applyAlignment="1">
      <alignment horizontal="left"/>
    </xf>
    <xf numFmtId="0" fontId="1" fillId="0" borderId="1" xfId="0" quotePrefix="1" applyFont="1" applyBorder="1" applyAlignment="1">
      <alignment horizontal="right"/>
    </xf>
    <xf numFmtId="173" fontId="1" fillId="0" borderId="1" xfId="0" quotePrefix="1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3" fillId="0" borderId="1" xfId="0" applyFont="1" applyBorder="1"/>
    <xf numFmtId="173" fontId="3" fillId="0" borderId="1" xfId="0" applyNumberFormat="1" applyFont="1" applyBorder="1" applyAlignment="1">
      <alignment horizontal="left"/>
    </xf>
    <xf numFmtId="173" fontId="3" fillId="0" borderId="1" xfId="0" applyNumberFormat="1" applyFont="1" applyBorder="1" applyAlignment="1">
      <alignment horizontal="right"/>
    </xf>
    <xf numFmtId="176" fontId="1" fillId="0" borderId="1" xfId="0" applyNumberFormat="1" applyFont="1" applyBorder="1"/>
    <xf numFmtId="176" fontId="3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79" fontId="0" fillId="0" borderId="1" xfId="0" applyNumberFormat="1" applyBorder="1"/>
    <xf numFmtId="0" fontId="0" fillId="0" borderId="0" xfId="0" applyBorder="1"/>
    <xf numFmtId="0" fontId="0" fillId="0" borderId="2" xfId="0" applyBorder="1"/>
    <xf numFmtId="179" fontId="0" fillId="0" borderId="2" xfId="0" applyNumberFormat="1" applyBorder="1"/>
    <xf numFmtId="0" fontId="2" fillId="2" borderId="3" xfId="0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0" fillId="0" borderId="4" xfId="0" applyBorder="1"/>
    <xf numFmtId="0" fontId="2" fillId="2" borderId="1" xfId="0" applyFont="1" applyFill="1" applyBorder="1"/>
    <xf numFmtId="164" fontId="0" fillId="0" borderId="1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D1" workbookViewId="0">
      <selection activeCell="H20" sqref="H20"/>
    </sheetView>
  </sheetViews>
  <sheetFormatPr defaultRowHeight="15"/>
  <cols>
    <col min="1" max="1" width="34.5703125" customWidth="1"/>
    <col min="2" max="2" width="12.7109375" customWidth="1"/>
    <col min="3" max="3" width="15.140625" customWidth="1"/>
    <col min="4" max="4" width="20.42578125" customWidth="1"/>
    <col min="5" max="5" width="25.85546875" customWidth="1"/>
    <col min="6" max="6" width="8.5703125" customWidth="1"/>
    <col min="7" max="7" width="29.5703125" customWidth="1"/>
    <col min="8" max="8" width="32" customWidth="1"/>
    <col min="9" max="9" width="23.28515625" customWidth="1"/>
    <col min="11" max="11" width="42.5703125" customWidth="1"/>
    <col min="12" max="12" width="17.5703125" customWidth="1"/>
    <col min="13" max="13" width="15.28515625" customWidth="1"/>
    <col min="14" max="14" width="21" customWidth="1"/>
    <col min="15" max="15" width="30.85546875" customWidth="1"/>
  </cols>
  <sheetData>
    <row r="1" spans="1:15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4" t="s">
        <v>5</v>
      </c>
      <c r="H1" s="4" t="s">
        <v>6</v>
      </c>
      <c r="I1" s="4" t="s">
        <v>7</v>
      </c>
    </row>
    <row r="2" spans="1:15" ht="15.75" customHeight="1">
      <c r="A2" s="5" t="s">
        <v>8</v>
      </c>
      <c r="B2" s="5">
        <v>1</v>
      </c>
      <c r="C2" s="5">
        <v>24</v>
      </c>
      <c r="D2" s="6">
        <v>408</v>
      </c>
      <c r="E2" s="7">
        <f>D2*4</f>
        <v>1632</v>
      </c>
      <c r="G2" s="5" t="s">
        <v>9</v>
      </c>
      <c r="H2" s="5" t="s">
        <v>10</v>
      </c>
      <c r="I2" s="15">
        <v>36.799999999999997</v>
      </c>
      <c r="K2" s="26" t="s">
        <v>11</v>
      </c>
      <c r="L2" s="28">
        <v>0.01</v>
      </c>
      <c r="M2" s="24"/>
      <c r="N2" s="24"/>
      <c r="O2" s="24"/>
    </row>
    <row r="3" spans="1:15">
      <c r="A3" s="5" t="s">
        <v>12</v>
      </c>
      <c r="B3" s="5">
        <v>1</v>
      </c>
      <c r="C3" s="5">
        <v>24</v>
      </c>
      <c r="D3" s="8">
        <v>576</v>
      </c>
      <c r="E3" s="7">
        <f t="shared" ref="E3:E6" si="0">D3*4</f>
        <v>2304</v>
      </c>
      <c r="G3" s="5" t="s">
        <v>13</v>
      </c>
      <c r="H3" s="5" t="s">
        <v>14</v>
      </c>
      <c r="I3" s="15">
        <v>3.7869999999999999</v>
      </c>
      <c r="K3" s="26" t="s">
        <v>15</v>
      </c>
      <c r="L3" s="25">
        <v>12</v>
      </c>
      <c r="M3" s="24"/>
      <c r="N3" s="24"/>
      <c r="O3" s="24"/>
    </row>
    <row r="4" spans="1:15">
      <c r="A4" s="5" t="s">
        <v>16</v>
      </c>
      <c r="B4" s="5">
        <v>1</v>
      </c>
      <c r="C4" s="5">
        <v>48</v>
      </c>
      <c r="D4" s="8">
        <v>576</v>
      </c>
      <c r="E4" s="7">
        <f t="shared" si="0"/>
        <v>2304</v>
      </c>
      <c r="G4" s="5" t="s">
        <v>17</v>
      </c>
      <c r="H4" s="5" t="s">
        <v>18</v>
      </c>
      <c r="I4" s="15">
        <v>40.587000000000003</v>
      </c>
      <c r="K4" s="23" t="s">
        <v>19</v>
      </c>
      <c r="L4" s="23" t="s">
        <v>20</v>
      </c>
      <c r="M4" s="23" t="s">
        <v>21</v>
      </c>
      <c r="N4" s="23" t="s">
        <v>22</v>
      </c>
      <c r="O4" s="23" t="s">
        <v>23</v>
      </c>
    </row>
    <row r="5" spans="1:15">
      <c r="A5" s="5" t="s">
        <v>24</v>
      </c>
      <c r="B5" s="5">
        <v>1</v>
      </c>
      <c r="C5" s="5">
        <v>36</v>
      </c>
      <c r="D5" s="8">
        <v>420</v>
      </c>
      <c r="E5" s="7">
        <f t="shared" si="0"/>
        <v>1680</v>
      </c>
      <c r="G5" s="5" t="s">
        <v>25</v>
      </c>
      <c r="H5" s="5" t="s">
        <v>26</v>
      </c>
      <c r="I5" s="15">
        <v>8.1170000000000009</v>
      </c>
      <c r="K5" s="3" t="s">
        <v>27</v>
      </c>
      <c r="L5" s="3">
        <v>0</v>
      </c>
      <c r="M5" s="17">
        <v>57.470999999999997</v>
      </c>
      <c r="N5" s="18" t="s">
        <v>28</v>
      </c>
      <c r="O5" s="18" t="s">
        <v>28</v>
      </c>
    </row>
    <row r="6" spans="1:15">
      <c r="A6" s="5" t="s">
        <v>29</v>
      </c>
      <c r="B6" s="5">
        <v>1</v>
      </c>
      <c r="C6" s="5">
        <v>40</v>
      </c>
      <c r="D6" s="8">
        <v>320</v>
      </c>
      <c r="E6" s="7">
        <f t="shared" si="0"/>
        <v>1280</v>
      </c>
      <c r="G6" s="5" t="s">
        <v>30</v>
      </c>
      <c r="H6" s="5" t="s">
        <v>31</v>
      </c>
      <c r="I6" s="15">
        <v>48.704000000000001</v>
      </c>
      <c r="K6" s="3" t="s">
        <v>27</v>
      </c>
      <c r="L6" s="19">
        <v>11.25</v>
      </c>
      <c r="M6" s="3">
        <v>0</v>
      </c>
      <c r="N6" s="19">
        <v>11.25</v>
      </c>
      <c r="O6" s="29" t="s">
        <v>32</v>
      </c>
    </row>
    <row r="7" spans="1:15">
      <c r="A7" s="5" t="s">
        <v>33</v>
      </c>
      <c r="B7" s="9" t="s">
        <v>34</v>
      </c>
      <c r="C7" s="9" t="s">
        <v>34</v>
      </c>
      <c r="D7" s="10" t="s">
        <v>34</v>
      </c>
      <c r="E7" s="11">
        <v>192</v>
      </c>
      <c r="F7" s="1"/>
      <c r="G7" s="5" t="s">
        <v>35</v>
      </c>
      <c r="H7" s="5" t="s">
        <v>36</v>
      </c>
      <c r="I7" s="15">
        <v>8.7669999999999995</v>
      </c>
      <c r="K7" s="3" t="s">
        <v>37</v>
      </c>
      <c r="L7" s="19">
        <v>12.5</v>
      </c>
      <c r="M7" s="3">
        <v>0</v>
      </c>
      <c r="N7" s="19">
        <v>12.5</v>
      </c>
      <c r="O7" s="29" t="s">
        <v>38</v>
      </c>
    </row>
    <row r="8" spans="1:15">
      <c r="A8" s="12" t="s">
        <v>39</v>
      </c>
      <c r="B8" s="12">
        <f>SUM(B2:B7)</f>
        <v>5</v>
      </c>
      <c r="C8" s="12">
        <f>SUM(C2:C7)</f>
        <v>172</v>
      </c>
      <c r="D8" s="13">
        <f>SUM(D2:D7)</f>
        <v>2300</v>
      </c>
      <c r="E8" s="14">
        <f>SUM(E2:E6)</f>
        <v>9200</v>
      </c>
      <c r="G8" s="12" t="s">
        <v>40</v>
      </c>
      <c r="H8" s="12" t="s">
        <v>41</v>
      </c>
      <c r="I8" s="16">
        <v>57.470999999999997</v>
      </c>
      <c r="K8" s="3" t="s">
        <v>42</v>
      </c>
      <c r="L8" s="19">
        <v>13.75</v>
      </c>
      <c r="M8" s="3">
        <v>0</v>
      </c>
      <c r="N8" s="19">
        <v>13.75</v>
      </c>
      <c r="O8" s="29" t="s">
        <v>43</v>
      </c>
    </row>
    <row r="9" spans="1:15">
      <c r="K9" s="3" t="s">
        <v>44</v>
      </c>
      <c r="L9" s="19">
        <v>16.25</v>
      </c>
      <c r="M9" s="3">
        <v>0</v>
      </c>
      <c r="N9" s="19">
        <v>16.25</v>
      </c>
      <c r="O9" s="29" t="s">
        <v>45</v>
      </c>
    </row>
    <row r="10" spans="1:15">
      <c r="K10" s="3" t="s">
        <v>46</v>
      </c>
      <c r="L10" s="19">
        <v>17.5</v>
      </c>
      <c r="M10" s="3">
        <v>0</v>
      </c>
      <c r="N10" s="19">
        <v>17.5</v>
      </c>
      <c r="O10" s="29" t="s">
        <v>47</v>
      </c>
    </row>
    <row r="11" spans="1:15">
      <c r="K11" s="3" t="s">
        <v>48</v>
      </c>
      <c r="L11" s="19">
        <v>18.75</v>
      </c>
      <c r="M11" s="3">
        <v>0</v>
      </c>
      <c r="N11" s="19">
        <v>18.75</v>
      </c>
      <c r="O11" s="29" t="s">
        <v>49</v>
      </c>
    </row>
    <row r="12" spans="1:15">
      <c r="K12" s="3" t="s">
        <v>50</v>
      </c>
      <c r="L12" s="19">
        <v>20</v>
      </c>
      <c r="M12" s="3">
        <v>0</v>
      </c>
      <c r="N12" s="19">
        <v>20</v>
      </c>
      <c r="O12" s="29" t="s">
        <v>51</v>
      </c>
    </row>
    <row r="13" spans="1:15">
      <c r="K13" s="3" t="s">
        <v>52</v>
      </c>
      <c r="L13" s="19">
        <v>20</v>
      </c>
      <c r="M13" s="3">
        <v>0</v>
      </c>
      <c r="N13" s="19">
        <v>20</v>
      </c>
      <c r="O13" s="29" t="s">
        <v>53</v>
      </c>
    </row>
    <row r="14" spans="1:15">
      <c r="K14" s="3" t="s">
        <v>54</v>
      </c>
      <c r="L14" s="19">
        <v>20</v>
      </c>
      <c r="M14" s="3">
        <v>0</v>
      </c>
      <c r="N14" s="19">
        <v>20</v>
      </c>
      <c r="O14" s="29" t="s">
        <v>55</v>
      </c>
    </row>
    <row r="15" spans="1:15">
      <c r="G15" s="2"/>
      <c r="K15" s="3" t="s">
        <v>56</v>
      </c>
      <c r="L15" s="19">
        <v>20</v>
      </c>
      <c r="M15" s="3">
        <v>0</v>
      </c>
      <c r="N15" s="19">
        <v>20</v>
      </c>
      <c r="O15" s="29" t="s">
        <v>57</v>
      </c>
    </row>
    <row r="16" spans="1:15">
      <c r="K16" s="21" t="s">
        <v>58</v>
      </c>
      <c r="L16" s="22">
        <v>20</v>
      </c>
      <c r="M16" s="21">
        <v>0</v>
      </c>
      <c r="N16" s="22">
        <v>20</v>
      </c>
      <c r="O16" s="30" t="s">
        <v>59</v>
      </c>
    </row>
    <row r="17" spans="11:15">
      <c r="K17" s="27" t="s">
        <v>60</v>
      </c>
      <c r="L17" s="19">
        <v>20</v>
      </c>
      <c r="M17" s="3">
        <v>0</v>
      </c>
      <c r="N17" s="19">
        <v>20</v>
      </c>
      <c r="O17" s="31" t="s">
        <v>61</v>
      </c>
    </row>
    <row r="18" spans="11:15">
      <c r="K18" s="20"/>
    </row>
    <row r="19" spans="11:15">
      <c r="O19" s="32"/>
    </row>
    <row r="20" spans="11:15" ht="43.5">
      <c r="K20" s="3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2025-11-19T19:45:51Z</dcterms:created>
  <dcterms:modified xsi:type="dcterms:W3CDTF">2025-11-19T22:03:34Z</dcterms:modified>
  <cp:category/>
  <cp:contentStatus/>
</cp:coreProperties>
</file>